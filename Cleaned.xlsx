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Courses\Entri\Power BI\Assignment 3\"/>
    </mc:Choice>
  </mc:AlternateContent>
  <xr:revisionPtr revIDLastSave="0" documentId="13_ncr:1_{AA3F5A3A-6984-4209-A158-BBE26D074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pData" sheetId="3" r:id="rId1"/>
    <sheet name="Vehicle" sheetId="4" r:id="rId2"/>
  </sheets>
  <definedNames>
    <definedName name="ExternalData_1" localSheetId="0" hidden="1">TripData!$A$1:$I$51</definedName>
    <definedName name="ExternalData_1" localSheetId="1" hidden="1">Vehicle!$A$1:$D$8</definedName>
  </definedNames>
  <calcPr calcId="191029"/>
  <extLst>
    <ext uri="GoogleSheetsCustomDataVersion2">
      <go:sheetsCustomData xmlns:go="http://customooxmlschemas.google.com/" r:id="rId6" roundtripDataChecksum="NN+ub8LsKdzGDvMYdXASp7gs7mJacpgAHeVWsWk3zt0="/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43320-B5D6-499B-B58E-C1184489C243}" keepAlive="1" name="Query - TripData" description="Connection to the 'TripData' query in the workbook." type="5" refreshedVersion="8" background="1" saveData="1">
    <dbPr connection="Provider=Microsoft.Mashup.OleDb.1;Data Source=$Workbook$;Location=TripData;Extended Properties=&quot;&quot;" command="SELECT * FROM [TripData]"/>
  </connection>
  <connection id="2" xr16:uid="{A848B4B3-9579-48E9-AFE2-D93C01CA1F5C}" keepAlive="1" name="Query - Vehicle" description="Connection to the 'Vehicle' query in the workbook." type="5" refreshedVersion="8" background="1" saveData="1">
    <dbPr connection="Provider=Microsoft.Mashup.OleDb.1;Data Source=$Workbook$;Location=Vehicle;Extended Properties=&quot;&quot;" command="SELECT * FROM [Vehicle]"/>
  </connection>
</connections>
</file>

<file path=xl/sharedStrings.xml><?xml version="1.0" encoding="utf-8"?>
<sst xmlns="http://schemas.openxmlformats.org/spreadsheetml/2006/main" count="328" uniqueCount="92">
  <si>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</si>
  <si>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</si>
  <si>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</si>
  <si>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</si>
  <si>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</si>
  <si>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</si>
  <si>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</si>
  <si>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</si>
  <si>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</si>
  <si>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</si>
  <si>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</si>
  <si>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</si>
  <si>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</si>
  <si>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</si>
  <si>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</si>
  <si>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</si>
  <si>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</si>
  <si>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</si>
  <si>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</si>
  <si>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</si>
  <si>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</si>
  <si>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</si>
  <si>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</si>
  <si>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</si>
  <si>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</si>
  <si>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</si>
  <si>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</si>
  <si>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</si>
  <si>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</si>
  <si>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</si>
  <si>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</si>
  <si>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</si>
  <si>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</si>
  <si>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</si>
  <si>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</si>
  <si>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</si>
  <si>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</si>
  <si>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</si>
  <si>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</si>
  <si>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</si>
  <si>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</si>
  <si>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</si>
  <si>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</si>
  <si>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</si>
  <si>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</si>
  <si>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</si>
  <si>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</si>
  <si>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</si>
  <si>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</si>
  <si>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</si>
  <si>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</si>
  <si>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</si>
  <si>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</si>
  <si>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</si>
  <si>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</si>
  <si>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</si>
  <si>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</si>
  <si>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</si>
  <si>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</si>
  <si>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</si>
  <si>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</si>
  <si>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</si>
  <si>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</si>
  <si>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</si>
  <si>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</si>
  <si>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</si>
  <si>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</si>
  <si>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</si>
  <si>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</si>
  <si>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</si>
  <si>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</si>
  <si>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</si>
  <si>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</si>
  <si>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</si>
  <si>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</si>
  <si>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</si>
  <si>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</si>
  <si>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</si>
  <si>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</si>
  <si>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</si>
  <si>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</si>
  <si>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</si>
  <si>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</si>
  <si>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</si>
  <si>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</si>
  <si>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</si>
  <si>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</si>
  <si>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</si>
  <si>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</si>
  <si>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</si>
  <si>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</si>
  <si>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 xml:space="preserve">Fuel Consumed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</si>
</sst>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745CB8-3CBA-4980-9F57-B02564FF0FEE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Trip_ID" tableColumnId="1"/>
      <queryTableField id="2" name="Vehicle_ID" tableColumnId="2"/>
      <queryTableField id="3" name="Driver_ID" tableColumnId="3"/>
      <queryTableField id="4" name="Origin" tableColumnId="4"/>
      <queryTableField id="5" name="Destination" tableColumnId="5"/>
      <queryTableField id="6" name="Distance_km" tableColumnId="6"/>
      <queryTableField id="7" name="Fuel_Consumed_L" tableColumnId="7"/>
      <queryTableField id="8" name="Delivery_Status" tableColumnId="8"/>
      <queryTableField id="9" name="Delivery_Date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0AB010-D845-49E4-AF0C-751C88789AE1}" autoFormatId="16" applyNumberFormats="0" applyBorderFormats="0" applyFontFormats="0" applyPatternFormats="0" applyAlignmentFormats="0" applyWidthHeightFormats="0">
  <queryTableRefresh nextId="5">
    <queryTableFields count="4">
      <queryTableField id="1" name="Vehicle_ID" tableColumnId="1"/>
      <queryTableField id="2" name="Vehicle_Type" tableColumnId="2"/>
      <queryTableField id="3" name="Capacity_kg" tableColumnId="3"/>
      <queryTableField id="4" name="Maintenance_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6E84CC-586D-4743-9A1C-C7B91AAAC907}" name="TripData" displayName="TripData" ref="A1:J51" tableType="queryTable" totalsRowShown="0">
  <autoFilter ref="A1:J51" xr:uid="{D06E84CC-586D-4743-9A1C-C7B91AAAC907}"/>
  <tableColumns count="10">
    <tableColumn id="1" xr3:uid="{DF32ADE9-D9DC-4D6F-B874-88CF2FFDE78F}" uniqueName="1" name="Trip_ID" queryTableFieldId="1" dataDxfId="9"/>
    <tableColumn id="2" xr3:uid="{2D22E5F0-28E5-48F1-B9E0-20A41F376673}" uniqueName="2" name="Vehicle_ID" queryTableFieldId="2" dataDxfId="8"/>
    <tableColumn id="3" xr3:uid="{C6D866C8-5A9F-407C-9009-876B0E740AF2}" uniqueName="3" name="Driver_ID" queryTableFieldId="3" dataDxfId="7"/>
    <tableColumn id="4" xr3:uid="{1BCCFCC4-9F69-4049-BFA7-98BE092B602F}" uniqueName="4" name="Origin" queryTableFieldId="4" dataDxfId="6"/>
    <tableColumn id="5" xr3:uid="{35DEC591-63C4-4F15-A7FD-6191822CF952}" uniqueName="5" name="Destination" queryTableFieldId="5" dataDxfId="5"/>
    <tableColumn id="6" xr3:uid="{459C5BCE-7B3C-483E-8C61-52D5EC874245}" uniqueName="6" name="Distance_km" queryTableFieldId="6"/>
    <tableColumn id="7" xr3:uid="{509FA1BB-51B8-489E-8DC2-F521A38725D0}" uniqueName="7" name="Fuel_Consumed_L" queryTableFieldId="7"/>
    <tableColumn id="8" xr3:uid="{4B27D483-551D-4C7C-9CE6-9D4346C38115}" uniqueName="8" name="Delivery_Status" queryTableFieldId="8" dataDxfId="4"/>
    <tableColumn id="9" xr3:uid="{95EEED1C-E3B7-4BC5-8619-470436787334}" uniqueName="9" name="Delivery_Date" queryTableFieldId="9" dataDxfId="3"/>
    <tableColumn id="10" xr3:uid="{0BB03BE5-4F8D-4589-BA97-37C951EC9CE3}" uniqueName="10" name="Fuel Consumed " queryTableFieldId="10" dataDxfId="0">
      <calculatedColumnFormula>IF(F2="",AVERAGEIF($B$2:$B$51,B2,$F$2:$F$51),F2)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7CD7CA-6D6E-4AA9-AFAD-EA0C1C88071B}" name="Vehicle" displayName="Vehicle" ref="A1:D8" tableType="queryTable" totalsRowShown="0">
  <autoFilter ref="A1:D8" xr:uid="{3D7CD7CA-6D6E-4AA9-AFAD-EA0C1C88071B}"/>
  <tableColumns count="4">
    <tableColumn id="1" xr3:uid="{6CAC759B-EA0F-4382-9772-0C288F7E4C33}" uniqueName="1" name="Vehicle_ID" queryTableFieldId="1" dataDxfId="2"/>
    <tableColumn id="2" xr3:uid="{79E24A53-E43C-499E-9E94-AE1DFF9F4992}" uniqueName="2" name="Vehicle_Type" queryTableFieldId="2" dataDxfId="1"/>
    <tableColumn id="3" xr3:uid="{57E594A2-24EE-43EA-B9B1-C27B50E928CF}" uniqueName="3" name="Capacity_kg" queryTableFieldId="3"/>
    <tableColumn id="4" xr3:uid="{6403D14C-A9CA-4386-ADF1-8F206C28A142}" uniqueName="4" name="Maintenance_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E7A8-6786-48B5-80F9-5E0E5EB46B02}">
  <dimension ref="A1:J51"/>
  <sheetViews>
    <sheetView tabSelected="1" zoomScale="70" zoomScaleNormal="70" workbookViewId="0">
      <selection activeCell="M11" sqref="M11"/>
    </sheetView>
  </sheetViews>
  <sheetFormatPr defaultRowHeight="15" x14ac:dyDescent="0.25"/>
  <cols>
    <col min="1" max="1" width="9.5703125" bestFit="1" customWidth="1"/>
    <col min="2" max="2" width="12.85546875" bestFit="1" customWidth="1"/>
    <col min="3" max="3" width="11.5703125" bestFit="1" customWidth="1"/>
    <col min="4" max="4" width="10.5703125" bestFit="1" customWidth="1"/>
    <col min="5" max="5" width="13.5703125" bestFit="1" customWidth="1"/>
    <col min="6" max="6" width="14.5703125" bestFit="1" customWidth="1"/>
    <col min="7" max="7" width="26.42578125" hidden="1" customWidth="1"/>
    <col min="8" max="8" width="17.28515625" bestFit="1" customWidth="1"/>
    <col min="9" max="9" width="16" bestFit="1" customWidth="1"/>
    <col min="10" max="10" width="2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91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>
        <v>1173</v>
      </c>
      <c r="G2">
        <v>108.42</v>
      </c>
      <c r="H2" s="2" t="s">
        <v>14</v>
      </c>
      <c r="I2" s="3">
        <v>44953</v>
      </c>
      <c r="J2">
        <f t="shared" ref="J2:J33" si="0">IF(F2="",AVERAGEIF($B$2:$B$51,B2,$F$2:$F$51),F2)</f>
        <v>1173</v>
      </c>
    </row>
    <row r="3" spans="1:1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>
        <v>1727</v>
      </c>
      <c r="G3">
        <v>161.33000000000001</v>
      </c>
      <c r="H3" s="2" t="s">
        <v>14</v>
      </c>
      <c r="I3" s="3">
        <v>44978</v>
      </c>
      <c r="J3">
        <f t="shared" si="0"/>
        <v>1727</v>
      </c>
    </row>
    <row r="4" spans="1:10" x14ac:dyDescent="0.25">
      <c r="A4" s="2" t="s">
        <v>20</v>
      </c>
      <c r="B4" s="2" t="s">
        <v>16</v>
      </c>
      <c r="C4" s="2" t="s">
        <v>17</v>
      </c>
      <c r="D4" s="2" t="s">
        <v>18</v>
      </c>
      <c r="E4" s="2" t="s">
        <v>13</v>
      </c>
      <c r="F4">
        <v>1459</v>
      </c>
      <c r="G4">
        <v>154.69999999999999</v>
      </c>
      <c r="H4" s="2" t="s">
        <v>14</v>
      </c>
      <c r="I4" s="3">
        <v>44974</v>
      </c>
      <c r="J4">
        <f t="shared" si="0"/>
        <v>1459</v>
      </c>
    </row>
    <row r="5" spans="1:10" x14ac:dyDescent="0.25">
      <c r="A5" s="2" t="s">
        <v>21</v>
      </c>
      <c r="B5" s="2" t="s">
        <v>10</v>
      </c>
      <c r="C5" s="2" t="s">
        <v>22</v>
      </c>
      <c r="D5" s="2" t="s">
        <v>23</v>
      </c>
      <c r="E5" s="2" t="s">
        <v>13</v>
      </c>
      <c r="F5">
        <v>382</v>
      </c>
      <c r="G5">
        <v>26.6</v>
      </c>
      <c r="H5" s="2" t="s">
        <v>14</v>
      </c>
      <c r="I5" s="3">
        <v>44975</v>
      </c>
      <c r="J5">
        <f t="shared" si="0"/>
        <v>382</v>
      </c>
    </row>
    <row r="6" spans="1:10" x14ac:dyDescent="0.25">
      <c r="A6" s="2" t="s">
        <v>24</v>
      </c>
      <c r="B6" s="2" t="s">
        <v>16</v>
      </c>
      <c r="C6" s="2" t="s">
        <v>17</v>
      </c>
      <c r="D6" s="2" t="s">
        <v>13</v>
      </c>
      <c r="E6" s="2" t="s">
        <v>18</v>
      </c>
      <c r="F6">
        <v>398</v>
      </c>
      <c r="G6">
        <v>33.200000000000003</v>
      </c>
      <c r="H6" s="2" t="s">
        <v>14</v>
      </c>
      <c r="I6" s="3">
        <v>44972</v>
      </c>
      <c r="J6">
        <f t="shared" si="0"/>
        <v>398</v>
      </c>
    </row>
    <row r="7" spans="1:10" x14ac:dyDescent="0.25">
      <c r="A7" s="2" t="s">
        <v>25</v>
      </c>
      <c r="B7" s="2" t="s">
        <v>16</v>
      </c>
      <c r="C7" s="2" t="s">
        <v>26</v>
      </c>
      <c r="D7" s="2" t="s">
        <v>27</v>
      </c>
      <c r="E7" s="2" t="s">
        <v>18</v>
      </c>
      <c r="F7">
        <v>1275</v>
      </c>
      <c r="G7">
        <v>85.04</v>
      </c>
      <c r="H7" s="2" t="s">
        <v>28</v>
      </c>
      <c r="I7" s="3">
        <v>44982</v>
      </c>
      <c r="J7">
        <f t="shared" si="0"/>
        <v>1275</v>
      </c>
    </row>
    <row r="8" spans="1:10" x14ac:dyDescent="0.25">
      <c r="A8" s="2" t="s">
        <v>29</v>
      </c>
      <c r="B8" s="2" t="s">
        <v>30</v>
      </c>
      <c r="C8" s="2" t="s">
        <v>31</v>
      </c>
      <c r="D8" s="2" t="s">
        <v>27</v>
      </c>
      <c r="E8" s="2" t="s">
        <v>32</v>
      </c>
      <c r="F8">
        <v>752</v>
      </c>
      <c r="G8">
        <v>58.08</v>
      </c>
      <c r="H8" s="2" t="s">
        <v>14</v>
      </c>
      <c r="I8" s="3">
        <v>44945</v>
      </c>
      <c r="J8">
        <f t="shared" si="0"/>
        <v>752</v>
      </c>
    </row>
    <row r="9" spans="1:10" x14ac:dyDescent="0.25">
      <c r="A9" s="2" t="s">
        <v>33</v>
      </c>
      <c r="B9" s="2" t="s">
        <v>34</v>
      </c>
      <c r="C9" s="2" t="s">
        <v>35</v>
      </c>
      <c r="D9" s="2" t="s">
        <v>12</v>
      </c>
      <c r="E9" s="2" t="s">
        <v>13</v>
      </c>
      <c r="F9">
        <v>74</v>
      </c>
      <c r="G9">
        <v>5.24</v>
      </c>
      <c r="H9" s="2" t="s">
        <v>14</v>
      </c>
      <c r="I9" s="3">
        <v>44927</v>
      </c>
      <c r="J9">
        <f t="shared" si="0"/>
        <v>74</v>
      </c>
    </row>
    <row r="10" spans="1:10" x14ac:dyDescent="0.25">
      <c r="A10" s="2" t="s">
        <v>36</v>
      </c>
      <c r="B10" s="2" t="s">
        <v>34</v>
      </c>
      <c r="C10" s="2" t="s">
        <v>26</v>
      </c>
      <c r="D10" s="2" t="s">
        <v>12</v>
      </c>
      <c r="E10" s="2" t="s">
        <v>23</v>
      </c>
      <c r="F10">
        <v>186</v>
      </c>
      <c r="G10">
        <v>16.22</v>
      </c>
      <c r="H10" s="2" t="s">
        <v>14</v>
      </c>
      <c r="I10" s="3">
        <v>44980</v>
      </c>
      <c r="J10">
        <f t="shared" si="0"/>
        <v>186</v>
      </c>
    </row>
    <row r="11" spans="1:10" x14ac:dyDescent="0.25">
      <c r="A11" s="2" t="s">
        <v>37</v>
      </c>
      <c r="B11" s="2" t="s">
        <v>34</v>
      </c>
      <c r="C11" s="2" t="s">
        <v>38</v>
      </c>
      <c r="D11" s="2" t="s">
        <v>19</v>
      </c>
      <c r="E11" s="2" t="s">
        <v>23</v>
      </c>
      <c r="F11">
        <v>1375</v>
      </c>
      <c r="G11">
        <v>105.21</v>
      </c>
      <c r="H11" s="2" t="s">
        <v>28</v>
      </c>
      <c r="I11" s="3">
        <v>44959</v>
      </c>
      <c r="J11">
        <f t="shared" si="0"/>
        <v>1375</v>
      </c>
    </row>
    <row r="12" spans="1:10" x14ac:dyDescent="0.25">
      <c r="A12" s="2" t="s">
        <v>39</v>
      </c>
      <c r="B12" s="2" t="s">
        <v>16</v>
      </c>
      <c r="C12" s="2" t="s">
        <v>31</v>
      </c>
      <c r="D12" s="2" t="s">
        <v>32</v>
      </c>
      <c r="E12" s="2" t="s">
        <v>23</v>
      </c>
      <c r="F12">
        <v>419</v>
      </c>
      <c r="G12">
        <v>31.17</v>
      </c>
      <c r="H12" s="2" t="s">
        <v>14</v>
      </c>
      <c r="I12" s="3">
        <v>44947</v>
      </c>
      <c r="J12">
        <f t="shared" si="0"/>
        <v>419</v>
      </c>
    </row>
    <row r="13" spans="1:10" x14ac:dyDescent="0.25">
      <c r="A13" s="2" t="s">
        <v>40</v>
      </c>
      <c r="B13" s="2" t="s">
        <v>16</v>
      </c>
      <c r="C13" s="2" t="s">
        <v>11</v>
      </c>
      <c r="D13" s="2" t="s">
        <v>32</v>
      </c>
      <c r="E13" s="2" t="s">
        <v>12</v>
      </c>
      <c r="F13">
        <v>751</v>
      </c>
      <c r="G13">
        <v>51.77</v>
      </c>
      <c r="H13" s="2" t="s">
        <v>14</v>
      </c>
      <c r="I13" s="3">
        <v>44972</v>
      </c>
      <c r="J13">
        <f t="shared" si="0"/>
        <v>751</v>
      </c>
    </row>
    <row r="14" spans="1:10" x14ac:dyDescent="0.25">
      <c r="A14" s="2" t="s">
        <v>41</v>
      </c>
      <c r="B14" s="2" t="s">
        <v>42</v>
      </c>
      <c r="C14" s="2" t="s">
        <v>43</v>
      </c>
      <c r="D14" s="2" t="s">
        <v>32</v>
      </c>
      <c r="E14" s="2" t="s">
        <v>27</v>
      </c>
      <c r="F14">
        <v>1571</v>
      </c>
      <c r="G14">
        <v>188.52</v>
      </c>
      <c r="H14" s="2" t="s">
        <v>28</v>
      </c>
      <c r="I14" s="3">
        <v>44959</v>
      </c>
      <c r="J14">
        <f t="shared" si="0"/>
        <v>1571</v>
      </c>
    </row>
    <row r="15" spans="1:10" x14ac:dyDescent="0.25">
      <c r="A15" s="2" t="s">
        <v>44</v>
      </c>
      <c r="B15" s="2" t="s">
        <v>42</v>
      </c>
      <c r="C15" s="2" t="s">
        <v>45</v>
      </c>
      <c r="D15" s="2" t="s">
        <v>23</v>
      </c>
      <c r="E15" s="2" t="s">
        <v>19</v>
      </c>
      <c r="F15">
        <v>1524</v>
      </c>
      <c r="G15">
        <v>104.51</v>
      </c>
      <c r="H15" s="2" t="s">
        <v>14</v>
      </c>
      <c r="I15" s="3">
        <v>44973</v>
      </c>
      <c r="J15">
        <f t="shared" si="0"/>
        <v>1524</v>
      </c>
    </row>
    <row r="16" spans="1:10" x14ac:dyDescent="0.25">
      <c r="A16" s="2" t="s">
        <v>46</v>
      </c>
      <c r="B16" s="2" t="s">
        <v>42</v>
      </c>
      <c r="C16" s="2" t="s">
        <v>47</v>
      </c>
      <c r="D16" s="2" t="s">
        <v>32</v>
      </c>
      <c r="E16" s="2" t="s">
        <v>18</v>
      </c>
      <c r="F16">
        <v>1956</v>
      </c>
      <c r="G16">
        <v>179.88</v>
      </c>
      <c r="H16" s="2" t="s">
        <v>14</v>
      </c>
      <c r="I16" s="3">
        <v>44947</v>
      </c>
      <c r="J16">
        <f t="shared" si="0"/>
        <v>1956</v>
      </c>
    </row>
    <row r="17" spans="1:10" x14ac:dyDescent="0.25">
      <c r="A17" s="2" t="s">
        <v>48</v>
      </c>
      <c r="B17" s="2" t="s">
        <v>42</v>
      </c>
      <c r="C17" s="2" t="s">
        <v>47</v>
      </c>
      <c r="D17" s="2" t="s">
        <v>19</v>
      </c>
      <c r="E17" s="2" t="s">
        <v>18</v>
      </c>
      <c r="F17">
        <v>858</v>
      </c>
      <c r="H17" s="2" t="s">
        <v>28</v>
      </c>
      <c r="I17" s="3">
        <v>44944</v>
      </c>
      <c r="J17">
        <f t="shared" si="0"/>
        <v>858</v>
      </c>
    </row>
    <row r="18" spans="1:10" x14ac:dyDescent="0.25">
      <c r="A18" s="2" t="s">
        <v>49</v>
      </c>
      <c r="B18" s="2" t="s">
        <v>30</v>
      </c>
      <c r="C18" s="2" t="s">
        <v>26</v>
      </c>
      <c r="D18" s="2" t="s">
        <v>13</v>
      </c>
      <c r="E18" s="2" t="s">
        <v>32</v>
      </c>
      <c r="F18">
        <v>1269</v>
      </c>
      <c r="G18">
        <v>102.91</v>
      </c>
      <c r="H18" s="2" t="s">
        <v>14</v>
      </c>
      <c r="I18" s="3">
        <v>44942</v>
      </c>
      <c r="J18">
        <f t="shared" si="0"/>
        <v>1269</v>
      </c>
    </row>
    <row r="19" spans="1:10" x14ac:dyDescent="0.25">
      <c r="A19" s="2" t="s">
        <v>50</v>
      </c>
      <c r="B19" s="2" t="s">
        <v>30</v>
      </c>
      <c r="C19" s="2" t="s">
        <v>35</v>
      </c>
      <c r="D19" s="2" t="s">
        <v>13</v>
      </c>
      <c r="E19" s="2" t="s">
        <v>12</v>
      </c>
      <c r="F19">
        <v>1565</v>
      </c>
      <c r="G19">
        <v>107.23</v>
      </c>
      <c r="H19" s="2" t="s">
        <v>14</v>
      </c>
      <c r="I19" s="3">
        <v>44969</v>
      </c>
      <c r="J19">
        <f t="shared" si="0"/>
        <v>1565</v>
      </c>
    </row>
    <row r="20" spans="1:10" x14ac:dyDescent="0.25">
      <c r="A20" s="2" t="s">
        <v>51</v>
      </c>
      <c r="B20" s="2" t="s">
        <v>30</v>
      </c>
      <c r="C20" s="2" t="s">
        <v>35</v>
      </c>
      <c r="D20" s="2" t="s">
        <v>23</v>
      </c>
      <c r="E20" s="2" t="s">
        <v>13</v>
      </c>
      <c r="F20">
        <v>1796</v>
      </c>
      <c r="G20">
        <v>155.52000000000001</v>
      </c>
      <c r="H20" s="2" t="s">
        <v>14</v>
      </c>
      <c r="I20" s="3">
        <v>44985</v>
      </c>
      <c r="J20">
        <f t="shared" si="0"/>
        <v>1796</v>
      </c>
    </row>
    <row r="21" spans="1:10" x14ac:dyDescent="0.25">
      <c r="A21" s="2" t="s">
        <v>52</v>
      </c>
      <c r="B21" s="2" t="s">
        <v>10</v>
      </c>
      <c r="C21" s="2" t="s">
        <v>38</v>
      </c>
      <c r="D21" s="2" t="s">
        <v>18</v>
      </c>
      <c r="E21" s="2" t="s">
        <v>19</v>
      </c>
      <c r="F21">
        <v>1640</v>
      </c>
      <c r="G21">
        <v>148.87</v>
      </c>
      <c r="H21" s="2" t="s">
        <v>14</v>
      </c>
      <c r="I21" s="3">
        <v>44932</v>
      </c>
      <c r="J21">
        <f t="shared" si="0"/>
        <v>1640</v>
      </c>
    </row>
    <row r="22" spans="1:10" x14ac:dyDescent="0.25">
      <c r="A22" s="2" t="s">
        <v>53</v>
      </c>
      <c r="B22" s="2" t="s">
        <v>30</v>
      </c>
      <c r="C22" s="2" t="s">
        <v>26</v>
      </c>
      <c r="D22" s="2" t="s">
        <v>12</v>
      </c>
      <c r="E22" s="2" t="s">
        <v>18</v>
      </c>
      <c r="F22">
        <v>446</v>
      </c>
      <c r="G22">
        <v>31.98</v>
      </c>
      <c r="H22" s="2" t="s">
        <v>28</v>
      </c>
      <c r="I22" s="3">
        <v>44937</v>
      </c>
      <c r="J22">
        <f t="shared" si="0"/>
        <v>446</v>
      </c>
    </row>
    <row r="23" spans="1:10" x14ac:dyDescent="0.25">
      <c r="A23" s="2" t="s">
        <v>54</v>
      </c>
      <c r="B23" s="2" t="s">
        <v>30</v>
      </c>
      <c r="C23" s="2" t="s">
        <v>22</v>
      </c>
      <c r="D23" s="2" t="s">
        <v>23</v>
      </c>
      <c r="E23" s="2" t="s">
        <v>12</v>
      </c>
      <c r="F23">
        <v>140</v>
      </c>
      <c r="G23">
        <v>11.44</v>
      </c>
      <c r="H23" s="2" t="s">
        <v>14</v>
      </c>
      <c r="I23" s="3">
        <v>44964</v>
      </c>
      <c r="J23">
        <f t="shared" si="0"/>
        <v>140</v>
      </c>
    </row>
    <row r="24" spans="1:10" x14ac:dyDescent="0.25">
      <c r="A24" s="2" t="s">
        <v>55</v>
      </c>
      <c r="B24" s="2" t="s">
        <v>16</v>
      </c>
      <c r="C24" s="2" t="s">
        <v>43</v>
      </c>
      <c r="D24" s="2" t="s">
        <v>27</v>
      </c>
      <c r="E24" s="2" t="s">
        <v>12</v>
      </c>
      <c r="F24">
        <v>1729</v>
      </c>
      <c r="G24">
        <v>197.55</v>
      </c>
      <c r="H24" s="2" t="s">
        <v>14</v>
      </c>
      <c r="I24" s="3">
        <v>44963</v>
      </c>
      <c r="J24">
        <f t="shared" si="0"/>
        <v>1729</v>
      </c>
    </row>
    <row r="25" spans="1:10" x14ac:dyDescent="0.25">
      <c r="A25" s="2" t="s">
        <v>56</v>
      </c>
      <c r="B25" s="2" t="s">
        <v>10</v>
      </c>
      <c r="C25" s="2" t="s">
        <v>11</v>
      </c>
      <c r="D25" s="2" t="s">
        <v>32</v>
      </c>
      <c r="E25" s="2" t="s">
        <v>18</v>
      </c>
      <c r="F25">
        <v>1376</v>
      </c>
      <c r="G25">
        <v>96.63</v>
      </c>
      <c r="H25" s="2" t="s">
        <v>14</v>
      </c>
      <c r="I25" s="3">
        <v>44971</v>
      </c>
      <c r="J25">
        <f t="shared" si="0"/>
        <v>1376</v>
      </c>
    </row>
    <row r="26" spans="1:10" x14ac:dyDescent="0.25">
      <c r="A26" s="2" t="s">
        <v>57</v>
      </c>
      <c r="B26" s="2" t="s">
        <v>10</v>
      </c>
      <c r="C26" s="2" t="s">
        <v>38</v>
      </c>
      <c r="D26" s="2" t="s">
        <v>19</v>
      </c>
      <c r="E26" s="2" t="s">
        <v>27</v>
      </c>
      <c r="F26">
        <v>1721</v>
      </c>
      <c r="G26">
        <v>120.65</v>
      </c>
      <c r="H26" s="2" t="s">
        <v>28</v>
      </c>
      <c r="I26" s="3">
        <v>44963</v>
      </c>
      <c r="J26">
        <f t="shared" si="0"/>
        <v>1721</v>
      </c>
    </row>
    <row r="27" spans="1:10" x14ac:dyDescent="0.25">
      <c r="A27" s="2" t="s">
        <v>58</v>
      </c>
      <c r="B27" s="2" t="s">
        <v>42</v>
      </c>
      <c r="C27" s="2" t="s">
        <v>43</v>
      </c>
      <c r="D27" s="2" t="s">
        <v>27</v>
      </c>
      <c r="E27" s="2" t="s">
        <v>13</v>
      </c>
      <c r="F27">
        <v>1784</v>
      </c>
      <c r="H27" s="2" t="s">
        <v>28</v>
      </c>
      <c r="I27" s="3">
        <v>44943</v>
      </c>
      <c r="J27">
        <f t="shared" si="0"/>
        <v>1784</v>
      </c>
    </row>
    <row r="28" spans="1:10" x14ac:dyDescent="0.25">
      <c r="A28" s="2" t="s">
        <v>59</v>
      </c>
      <c r="B28" s="2" t="s">
        <v>16</v>
      </c>
      <c r="C28" s="2" t="s">
        <v>26</v>
      </c>
      <c r="D28" s="2" t="s">
        <v>13</v>
      </c>
      <c r="E28" s="2" t="s">
        <v>32</v>
      </c>
      <c r="F28">
        <v>1007</v>
      </c>
      <c r="G28">
        <v>116.6</v>
      </c>
      <c r="H28" s="2" t="s">
        <v>28</v>
      </c>
      <c r="I28" s="3">
        <v>44974</v>
      </c>
      <c r="J28">
        <f t="shared" si="0"/>
        <v>1007</v>
      </c>
    </row>
    <row r="29" spans="1:10" x14ac:dyDescent="0.25">
      <c r="A29" s="2" t="s">
        <v>60</v>
      </c>
      <c r="B29" s="2" t="s">
        <v>42</v>
      </c>
      <c r="C29" s="2" t="s">
        <v>47</v>
      </c>
      <c r="D29" s="2" t="s">
        <v>13</v>
      </c>
      <c r="E29" s="2" t="s">
        <v>19</v>
      </c>
      <c r="F29">
        <v>1903</v>
      </c>
      <c r="G29">
        <v>151.18</v>
      </c>
      <c r="H29" s="2" t="s">
        <v>28</v>
      </c>
      <c r="I29" s="3">
        <v>44977</v>
      </c>
      <c r="J29">
        <f t="shared" si="0"/>
        <v>1903</v>
      </c>
    </row>
    <row r="30" spans="1:10" x14ac:dyDescent="0.25">
      <c r="A30" s="2" t="s">
        <v>61</v>
      </c>
      <c r="B30" s="2" t="s">
        <v>62</v>
      </c>
      <c r="C30" s="2" t="s">
        <v>47</v>
      </c>
      <c r="D30" s="2" t="s">
        <v>18</v>
      </c>
      <c r="E30" s="2" t="s">
        <v>19</v>
      </c>
      <c r="F30">
        <v>1262</v>
      </c>
      <c r="G30">
        <v>100.72</v>
      </c>
      <c r="H30" s="2" t="s">
        <v>14</v>
      </c>
      <c r="I30" s="3">
        <v>44954</v>
      </c>
      <c r="J30">
        <f t="shared" si="0"/>
        <v>1262</v>
      </c>
    </row>
    <row r="31" spans="1:10" x14ac:dyDescent="0.25">
      <c r="A31" s="2" t="s">
        <v>63</v>
      </c>
      <c r="B31" s="2" t="s">
        <v>34</v>
      </c>
      <c r="C31" s="2" t="s">
        <v>22</v>
      </c>
      <c r="D31" s="2" t="s">
        <v>32</v>
      </c>
      <c r="E31" s="2" t="s">
        <v>23</v>
      </c>
      <c r="F31">
        <v>317</v>
      </c>
      <c r="G31">
        <v>28.83</v>
      </c>
      <c r="H31" s="2" t="s">
        <v>14</v>
      </c>
      <c r="I31" s="3">
        <v>44985</v>
      </c>
      <c r="J31">
        <f t="shared" si="0"/>
        <v>317</v>
      </c>
    </row>
    <row r="32" spans="1:10" x14ac:dyDescent="0.25">
      <c r="A32" s="2" t="s">
        <v>64</v>
      </c>
      <c r="B32" s="2" t="s">
        <v>42</v>
      </c>
      <c r="C32" s="2" t="s">
        <v>43</v>
      </c>
      <c r="D32" s="2" t="s">
        <v>23</v>
      </c>
      <c r="E32" s="2" t="s">
        <v>12</v>
      </c>
      <c r="F32">
        <v>1188</v>
      </c>
      <c r="G32">
        <v>92.84</v>
      </c>
      <c r="H32" s="2" t="s">
        <v>14</v>
      </c>
      <c r="I32" s="3">
        <v>44960</v>
      </c>
      <c r="J32">
        <f t="shared" si="0"/>
        <v>1188</v>
      </c>
    </row>
    <row r="33" spans="1:10" x14ac:dyDescent="0.25">
      <c r="A33" s="2" t="s">
        <v>65</v>
      </c>
      <c r="B33" s="2" t="s">
        <v>62</v>
      </c>
      <c r="C33" s="2" t="s">
        <v>35</v>
      </c>
      <c r="D33" s="2" t="s">
        <v>23</v>
      </c>
      <c r="E33" s="2" t="s">
        <v>32</v>
      </c>
      <c r="F33">
        <v>398</v>
      </c>
      <c r="G33">
        <v>43.89</v>
      </c>
      <c r="H33" s="2" t="s">
        <v>28</v>
      </c>
      <c r="I33" s="3">
        <v>44962</v>
      </c>
      <c r="J33">
        <f t="shared" si="0"/>
        <v>398</v>
      </c>
    </row>
    <row r="34" spans="1:10" x14ac:dyDescent="0.25">
      <c r="A34" s="2" t="s">
        <v>66</v>
      </c>
      <c r="B34" s="2" t="s">
        <v>42</v>
      </c>
      <c r="C34" s="2" t="s">
        <v>22</v>
      </c>
      <c r="D34" s="2" t="s">
        <v>23</v>
      </c>
      <c r="E34" s="2" t="s">
        <v>27</v>
      </c>
      <c r="F34">
        <v>385</v>
      </c>
      <c r="G34">
        <v>31.03</v>
      </c>
      <c r="H34" s="2" t="s">
        <v>28</v>
      </c>
      <c r="I34" s="3">
        <v>44950</v>
      </c>
      <c r="J34">
        <f t="shared" ref="J34:J51" si="1">IF(F34="",AVERAGEIF($B$2:$B$51,B34,$F$2:$F$51),F34)</f>
        <v>385</v>
      </c>
    </row>
    <row r="35" spans="1:10" x14ac:dyDescent="0.25">
      <c r="A35" s="2" t="s">
        <v>67</v>
      </c>
      <c r="B35" s="2" t="s">
        <v>34</v>
      </c>
      <c r="C35" s="2" t="s">
        <v>35</v>
      </c>
      <c r="D35" s="2" t="s">
        <v>12</v>
      </c>
      <c r="E35" s="2" t="s">
        <v>23</v>
      </c>
      <c r="F35">
        <v>818</v>
      </c>
      <c r="G35">
        <v>94.24</v>
      </c>
      <c r="H35" s="2" t="s">
        <v>28</v>
      </c>
      <c r="I35" s="3">
        <v>44975</v>
      </c>
      <c r="J35">
        <f t="shared" si="1"/>
        <v>818</v>
      </c>
    </row>
    <row r="36" spans="1:10" x14ac:dyDescent="0.25">
      <c r="A36" s="2" t="s">
        <v>68</v>
      </c>
      <c r="B36" s="2" t="s">
        <v>10</v>
      </c>
      <c r="C36" s="2" t="s">
        <v>43</v>
      </c>
      <c r="D36" s="2" t="s">
        <v>12</v>
      </c>
      <c r="E36" s="2" t="s">
        <v>32</v>
      </c>
      <c r="F36">
        <v>1806</v>
      </c>
      <c r="G36">
        <v>121.36</v>
      </c>
      <c r="H36" s="2" t="s">
        <v>14</v>
      </c>
      <c r="I36" s="3">
        <v>44967</v>
      </c>
      <c r="J36">
        <f t="shared" si="1"/>
        <v>1806</v>
      </c>
    </row>
    <row r="37" spans="1:10" x14ac:dyDescent="0.25">
      <c r="A37" s="2" t="s">
        <v>69</v>
      </c>
      <c r="B37" s="2" t="s">
        <v>34</v>
      </c>
      <c r="C37" s="2" t="s">
        <v>35</v>
      </c>
      <c r="D37" s="2" t="s">
        <v>12</v>
      </c>
      <c r="E37" s="2" t="s">
        <v>13</v>
      </c>
      <c r="F37">
        <v>424</v>
      </c>
      <c r="G37">
        <v>37.630000000000003</v>
      </c>
      <c r="H37" s="2" t="s">
        <v>14</v>
      </c>
      <c r="I37" s="3">
        <v>44975</v>
      </c>
      <c r="J37">
        <f t="shared" si="1"/>
        <v>424</v>
      </c>
    </row>
    <row r="38" spans="1:10" x14ac:dyDescent="0.25">
      <c r="A38" s="2" t="s">
        <v>70</v>
      </c>
      <c r="B38" s="2" t="s">
        <v>16</v>
      </c>
      <c r="C38" s="2" t="s">
        <v>11</v>
      </c>
      <c r="D38" s="2" t="s">
        <v>12</v>
      </c>
      <c r="E38" s="2" t="s">
        <v>19</v>
      </c>
      <c r="F38">
        <v>909</v>
      </c>
      <c r="G38">
        <v>70.400000000000006</v>
      </c>
      <c r="H38" s="2" t="s">
        <v>14</v>
      </c>
      <c r="I38" s="3">
        <v>44944</v>
      </c>
      <c r="J38">
        <f t="shared" si="1"/>
        <v>909</v>
      </c>
    </row>
    <row r="39" spans="1:10" x14ac:dyDescent="0.25">
      <c r="A39" s="2" t="s">
        <v>71</v>
      </c>
      <c r="B39" s="2" t="s">
        <v>72</v>
      </c>
      <c r="C39" s="2" t="s">
        <v>47</v>
      </c>
      <c r="D39" s="2" t="s">
        <v>19</v>
      </c>
      <c r="E39" s="2" t="s">
        <v>18</v>
      </c>
      <c r="F39">
        <v>1404</v>
      </c>
      <c r="G39">
        <v>151.36000000000001</v>
      </c>
      <c r="H39" s="2" t="s">
        <v>28</v>
      </c>
      <c r="I39" s="3">
        <v>44981</v>
      </c>
      <c r="J39">
        <f t="shared" si="1"/>
        <v>1404</v>
      </c>
    </row>
    <row r="40" spans="1:10" x14ac:dyDescent="0.25">
      <c r="A40" s="2" t="s">
        <v>73</v>
      </c>
      <c r="B40" s="2" t="s">
        <v>72</v>
      </c>
      <c r="C40" s="2" t="s">
        <v>31</v>
      </c>
      <c r="D40" s="2" t="s">
        <v>19</v>
      </c>
      <c r="E40" s="2" t="s">
        <v>13</v>
      </c>
      <c r="F40">
        <v>555</v>
      </c>
      <c r="G40">
        <v>37.39</v>
      </c>
      <c r="H40" s="2" t="s">
        <v>14</v>
      </c>
      <c r="I40" s="3">
        <v>44937</v>
      </c>
      <c r="J40">
        <f t="shared" si="1"/>
        <v>555</v>
      </c>
    </row>
    <row r="41" spans="1:10" x14ac:dyDescent="0.25">
      <c r="A41" s="2" t="s">
        <v>74</v>
      </c>
      <c r="B41" s="2" t="s">
        <v>62</v>
      </c>
      <c r="C41" s="2" t="s">
        <v>17</v>
      </c>
      <c r="D41" s="2" t="s">
        <v>23</v>
      </c>
      <c r="E41" s="2" t="s">
        <v>32</v>
      </c>
      <c r="F41">
        <v>705</v>
      </c>
      <c r="G41">
        <v>62.94</v>
      </c>
      <c r="H41" s="2" t="s">
        <v>28</v>
      </c>
      <c r="I41" s="3">
        <v>44938</v>
      </c>
      <c r="J41">
        <f t="shared" si="1"/>
        <v>705</v>
      </c>
    </row>
    <row r="42" spans="1:10" x14ac:dyDescent="0.25">
      <c r="A42" s="2" t="s">
        <v>75</v>
      </c>
      <c r="B42" s="2" t="s">
        <v>16</v>
      </c>
      <c r="C42" s="2" t="s">
        <v>11</v>
      </c>
      <c r="D42" s="2" t="s">
        <v>23</v>
      </c>
      <c r="E42" s="2" t="s">
        <v>12</v>
      </c>
      <c r="F42">
        <v>64</v>
      </c>
      <c r="G42">
        <v>4.96</v>
      </c>
      <c r="H42" s="2" t="s">
        <v>28</v>
      </c>
      <c r="I42" s="3">
        <v>44952</v>
      </c>
      <c r="J42">
        <f t="shared" si="1"/>
        <v>64</v>
      </c>
    </row>
    <row r="43" spans="1:10" x14ac:dyDescent="0.25">
      <c r="A43" s="2" t="s">
        <v>76</v>
      </c>
      <c r="B43" s="2" t="s">
        <v>42</v>
      </c>
      <c r="C43" s="2" t="s">
        <v>31</v>
      </c>
      <c r="D43" s="2" t="s">
        <v>23</v>
      </c>
      <c r="E43" s="2" t="s">
        <v>27</v>
      </c>
      <c r="F43">
        <v>1245</v>
      </c>
      <c r="G43">
        <v>95.14</v>
      </c>
      <c r="H43" s="2" t="s">
        <v>14</v>
      </c>
      <c r="I43" s="3">
        <v>44967</v>
      </c>
      <c r="J43">
        <f t="shared" si="1"/>
        <v>1245</v>
      </c>
    </row>
    <row r="44" spans="1:10" x14ac:dyDescent="0.25">
      <c r="A44" s="2" t="s">
        <v>77</v>
      </c>
      <c r="B44" s="2" t="s">
        <v>16</v>
      </c>
      <c r="C44" s="2" t="s">
        <v>47</v>
      </c>
      <c r="D44" s="2" t="s">
        <v>23</v>
      </c>
      <c r="E44" s="2" t="s">
        <v>19</v>
      </c>
      <c r="F44">
        <v>116</v>
      </c>
      <c r="G44">
        <v>8.7100000000000009</v>
      </c>
      <c r="H44" s="2" t="s">
        <v>28</v>
      </c>
      <c r="I44" s="3">
        <v>44932</v>
      </c>
      <c r="J44">
        <f t="shared" si="1"/>
        <v>116</v>
      </c>
    </row>
    <row r="45" spans="1:10" x14ac:dyDescent="0.25">
      <c r="A45" s="2" t="s">
        <v>78</v>
      </c>
      <c r="B45" s="2" t="s">
        <v>10</v>
      </c>
      <c r="C45" s="2" t="s">
        <v>26</v>
      </c>
      <c r="D45" s="2" t="s">
        <v>12</v>
      </c>
      <c r="E45" s="2" t="s">
        <v>18</v>
      </c>
      <c r="F45">
        <v>1259</v>
      </c>
      <c r="H45" s="2" t="s">
        <v>28</v>
      </c>
      <c r="I45" s="3">
        <v>44955</v>
      </c>
      <c r="J45">
        <f t="shared" si="1"/>
        <v>1259</v>
      </c>
    </row>
    <row r="46" spans="1:10" x14ac:dyDescent="0.25">
      <c r="A46" s="2" t="s">
        <v>79</v>
      </c>
      <c r="B46" s="2" t="s">
        <v>34</v>
      </c>
      <c r="C46" s="2" t="s">
        <v>31</v>
      </c>
      <c r="D46" s="2" t="s">
        <v>32</v>
      </c>
      <c r="E46" s="2" t="s">
        <v>27</v>
      </c>
      <c r="F46">
        <v>1803</v>
      </c>
      <c r="G46">
        <v>211.34</v>
      </c>
      <c r="H46" s="2" t="s">
        <v>14</v>
      </c>
      <c r="I46" s="3">
        <v>44970</v>
      </c>
      <c r="J46">
        <f t="shared" si="1"/>
        <v>1803</v>
      </c>
    </row>
    <row r="47" spans="1:10" x14ac:dyDescent="0.25">
      <c r="A47" s="2" t="s">
        <v>80</v>
      </c>
      <c r="B47" s="2" t="s">
        <v>10</v>
      </c>
      <c r="C47" s="2" t="s">
        <v>26</v>
      </c>
      <c r="D47" s="2" t="s">
        <v>27</v>
      </c>
      <c r="E47" s="2" t="s">
        <v>23</v>
      </c>
      <c r="F47">
        <v>1096</v>
      </c>
      <c r="G47">
        <v>100.52</v>
      </c>
      <c r="H47" s="2" t="s">
        <v>28</v>
      </c>
      <c r="I47" s="3">
        <v>44947</v>
      </c>
      <c r="J47">
        <f t="shared" si="1"/>
        <v>1096</v>
      </c>
    </row>
    <row r="48" spans="1:10" x14ac:dyDescent="0.25">
      <c r="A48" s="2" t="s">
        <v>81</v>
      </c>
      <c r="B48" s="2" t="s">
        <v>42</v>
      </c>
      <c r="C48" s="2" t="s">
        <v>47</v>
      </c>
      <c r="D48" s="2" t="s">
        <v>23</v>
      </c>
      <c r="E48" s="2" t="s">
        <v>12</v>
      </c>
      <c r="F48">
        <v>572</v>
      </c>
      <c r="G48">
        <v>61.6</v>
      </c>
      <c r="H48" s="2" t="s">
        <v>14</v>
      </c>
      <c r="I48" s="3">
        <v>44948</v>
      </c>
      <c r="J48">
        <f t="shared" si="1"/>
        <v>572</v>
      </c>
    </row>
    <row r="49" spans="1:10" x14ac:dyDescent="0.25">
      <c r="A49" s="2" t="s">
        <v>82</v>
      </c>
      <c r="B49" s="2" t="s">
        <v>10</v>
      </c>
      <c r="C49" s="2" t="s">
        <v>11</v>
      </c>
      <c r="D49" s="2" t="s">
        <v>27</v>
      </c>
      <c r="E49" s="2" t="s">
        <v>19</v>
      </c>
      <c r="F49">
        <v>1441</v>
      </c>
      <c r="G49">
        <v>140.79</v>
      </c>
      <c r="H49" s="2" t="s">
        <v>28</v>
      </c>
      <c r="I49" s="3">
        <v>44985</v>
      </c>
      <c r="J49">
        <f t="shared" si="1"/>
        <v>1441</v>
      </c>
    </row>
    <row r="50" spans="1:10" x14ac:dyDescent="0.25">
      <c r="A50" s="2" t="s">
        <v>83</v>
      </c>
      <c r="B50" s="2" t="s">
        <v>30</v>
      </c>
      <c r="C50" s="2" t="s">
        <v>43</v>
      </c>
      <c r="D50" s="2" t="s">
        <v>19</v>
      </c>
      <c r="E50" s="2" t="s">
        <v>18</v>
      </c>
      <c r="F50">
        <v>1685</v>
      </c>
      <c r="G50">
        <v>119.01</v>
      </c>
      <c r="H50" s="2" t="s">
        <v>28</v>
      </c>
      <c r="I50" s="3">
        <v>44973</v>
      </c>
      <c r="J50">
        <f t="shared" si="1"/>
        <v>1685</v>
      </c>
    </row>
    <row r="51" spans="1:10" x14ac:dyDescent="0.25">
      <c r="A51" s="2" t="s">
        <v>84</v>
      </c>
      <c r="B51" s="2" t="s">
        <v>16</v>
      </c>
      <c r="C51" s="2" t="s">
        <v>31</v>
      </c>
      <c r="D51" s="2" t="s">
        <v>18</v>
      </c>
      <c r="E51" s="2" t="s">
        <v>12</v>
      </c>
      <c r="F51">
        <v>1233</v>
      </c>
      <c r="G51">
        <v>153.35</v>
      </c>
      <c r="H51" s="2" t="s">
        <v>14</v>
      </c>
      <c r="I51" s="3">
        <v>44938</v>
      </c>
      <c r="J51">
        <f t="shared" si="1"/>
        <v>1233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A4CA-2F25-4ED4-B9D4-A7865CB43D6E}">
  <dimension ref="A1:D8"/>
  <sheetViews>
    <sheetView workbookViewId="0">
      <selection sqref="A1:D8"/>
    </sheetView>
  </sheetViews>
  <sheetFormatPr defaultRowHeight="15" x14ac:dyDescent="0.25"/>
  <cols>
    <col min="1" max="1" width="12.85546875" bestFit="1" customWidth="1"/>
    <col min="2" max="2" width="15.42578125" bestFit="1" customWidth="1"/>
    <col min="3" max="3" width="13.7109375" bestFit="1" customWidth="1"/>
    <col min="4" max="4" width="20.140625" bestFit="1" customWidth="1"/>
  </cols>
  <sheetData>
    <row r="1" spans="1:4" x14ac:dyDescent="0.25">
      <c r="A1" t="s">
        <v>1</v>
      </c>
      <c r="B1" t="s">
        <v>85</v>
      </c>
      <c r="C1" t="s">
        <v>86</v>
      </c>
      <c r="D1" t="s">
        <v>87</v>
      </c>
    </row>
    <row r="2" spans="1:4" x14ac:dyDescent="0.25">
      <c r="A2" s="2" t="s">
        <v>62</v>
      </c>
      <c r="B2" s="2" t="s">
        <v>88</v>
      </c>
      <c r="C2">
        <v>8424</v>
      </c>
      <c r="D2">
        <v>5633</v>
      </c>
    </row>
    <row r="3" spans="1:4" x14ac:dyDescent="0.25">
      <c r="A3" s="2" t="s">
        <v>34</v>
      </c>
      <c r="B3" s="2" t="s">
        <v>89</v>
      </c>
      <c r="C3">
        <v>1970</v>
      </c>
      <c r="D3">
        <v>6776</v>
      </c>
    </row>
    <row r="4" spans="1:4" x14ac:dyDescent="0.25">
      <c r="A4" s="2" t="s">
        <v>72</v>
      </c>
      <c r="B4" s="2" t="s">
        <v>89</v>
      </c>
      <c r="C4">
        <v>1207</v>
      </c>
      <c r="D4">
        <v>18031</v>
      </c>
    </row>
    <row r="5" spans="1:4" x14ac:dyDescent="0.25">
      <c r="A5" s="2" t="s">
        <v>10</v>
      </c>
      <c r="B5" s="2" t="s">
        <v>90</v>
      </c>
      <c r="C5">
        <v>8803</v>
      </c>
      <c r="D5">
        <v>9033</v>
      </c>
    </row>
    <row r="6" spans="1:4" x14ac:dyDescent="0.25">
      <c r="A6" s="2" t="s">
        <v>42</v>
      </c>
      <c r="B6" s="2" t="s">
        <v>89</v>
      </c>
      <c r="C6">
        <v>9941</v>
      </c>
      <c r="D6">
        <v>17751</v>
      </c>
    </row>
    <row r="7" spans="1:4" x14ac:dyDescent="0.25">
      <c r="A7" s="2" t="s">
        <v>16</v>
      </c>
      <c r="B7" s="2" t="s">
        <v>88</v>
      </c>
      <c r="C7">
        <v>6053</v>
      </c>
      <c r="D7">
        <v>5914</v>
      </c>
    </row>
    <row r="8" spans="1:4" x14ac:dyDescent="0.25">
      <c r="A8" s="2" t="s">
        <v>30</v>
      </c>
      <c r="B8" s="2" t="s">
        <v>88</v>
      </c>
      <c r="C8">
        <v>2598</v>
      </c>
      <c r="D8">
        <v>12837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A97B56-57BD-4A7B-BB47-01B8F57623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TripData</vt:lpstr>
      <vt:lpstr>Vehicle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Srivatsan Saravanan</cp:lastModifiedBy>
  <dcterms:created xsi:type="dcterms:W3CDTF">2025-08-18T10:15:23Z</dcterms:created>
  <dcterms:modified xsi:type="dcterms:W3CDTF">2026-07-19T14:52:16Z</dcterms:modified>
</cp:coreProperties>
</file>